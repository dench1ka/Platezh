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kursach\Platezh\Platezh\Templates\"/>
    </mc:Choice>
  </mc:AlternateContent>
  <xr:revisionPtr revIDLastSave="0" documentId="13_ncr:1_{2B76A3ED-488A-448F-840B-86E4FFB4BDD4}" xr6:coauthVersionLast="47" xr6:coauthVersionMax="47" xr10:uidLastSave="{00000000-0000-0000-0000-000000000000}"/>
  <bookViews>
    <workbookView xWindow="-108" yWindow="-108" windowWidth="23256" windowHeight="12576" activeTab="1" xr2:uid="{19F47DEC-B588-4373-A82F-E0BFA67E57A8}"/>
  </bookViews>
  <sheets>
    <sheet name="Платные услуги" sheetId="1" r:id="rId1"/>
    <sheet name="Копия договор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B10" i="2"/>
  <c r="B11" i="2"/>
  <c r="B12" i="2"/>
  <c r="B13" i="2"/>
  <c r="B14" i="2"/>
  <c r="B15" i="2"/>
  <c r="B16" i="2"/>
  <c r="B17" i="2"/>
  <c r="B18" i="2"/>
  <c r="B19" i="2"/>
  <c r="B8" i="2"/>
  <c r="A22" i="2"/>
  <c r="D9" i="2"/>
  <c r="D10" i="2"/>
  <c r="D11" i="2"/>
  <c r="D12" i="2"/>
  <c r="D13" i="2"/>
  <c r="D14" i="2"/>
  <c r="D15" i="2"/>
  <c r="D16" i="2"/>
  <c r="D17" i="2"/>
  <c r="D18" i="2"/>
  <c r="D19" i="2"/>
  <c r="C9" i="2"/>
  <c r="C10" i="2"/>
  <c r="C11" i="2"/>
  <c r="C12" i="2"/>
  <c r="C13" i="2"/>
  <c r="C14" i="2"/>
  <c r="C15" i="2"/>
  <c r="C16" i="2"/>
  <c r="C17" i="2"/>
  <c r="C18" i="2"/>
  <c r="C19" i="2"/>
  <c r="A9" i="2"/>
  <c r="A10" i="2"/>
  <c r="A11" i="2"/>
  <c r="A12" i="2"/>
  <c r="A13" i="2"/>
  <c r="A14" i="2"/>
  <c r="A15" i="2"/>
  <c r="A16" i="2"/>
  <c r="A17" i="2"/>
  <c r="A18" i="2"/>
  <c r="A19" i="2"/>
  <c r="A8" i="2"/>
  <c r="C8" i="2"/>
  <c r="D8" i="2"/>
  <c r="E9" i="2"/>
  <c r="E10" i="2"/>
  <c r="E11" i="2"/>
  <c r="E12" i="2"/>
  <c r="E13" i="2"/>
  <c r="E14" i="2"/>
  <c r="E15" i="2"/>
  <c r="E16" i="2"/>
  <c r="E17" i="2"/>
  <c r="E18" i="2"/>
  <c r="E19" i="2"/>
  <c r="E8" i="2"/>
  <c r="G9" i="2"/>
  <c r="G10" i="2"/>
  <c r="G11" i="2"/>
  <c r="G12" i="2"/>
  <c r="G13" i="2"/>
  <c r="G14" i="2"/>
  <c r="G15" i="2"/>
  <c r="G16" i="2"/>
  <c r="G17" i="2"/>
  <c r="G18" i="2"/>
  <c r="G19" i="2"/>
  <c r="G8" i="2"/>
  <c r="F9" i="2"/>
  <c r="F10" i="2"/>
  <c r="F11" i="2"/>
  <c r="F12" i="2"/>
  <c r="F13" i="2"/>
  <c r="F14" i="2"/>
  <c r="F15" i="2"/>
  <c r="F16" i="2"/>
  <c r="F17" i="2"/>
  <c r="F18" i="2"/>
  <c r="F19" i="2"/>
  <c r="F8" i="2"/>
  <c r="B5" i="2" a="1"/>
  <c r="B5" i="2" s="1"/>
  <c r="A4" i="2"/>
  <c r="E20" i="2" l="1"/>
  <c r="G20" i="2"/>
  <c r="C21" i="2" s="1"/>
  <c r="F20" i="2"/>
  <c r="E23" i="1" l="1"/>
  <c r="F23" i="1"/>
  <c r="G23" i="1"/>
  <c r="G27" i="1" s="1"/>
  <c r="D23" i="1"/>
  <c r="D6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<sst xmlns="http://schemas.openxmlformats.org/spreadsheetml/2006/main" count="79" uniqueCount="68">
  <si>
    <t xml:space="preserve">ДОГОВОР № </t>
  </si>
  <si>
    <t xml:space="preserve"> возмездного оказания  медицинских услуг</t>
  </si>
  <si>
    <t xml:space="preserve">г. Гомель                                                                                                                                                                                                     </t>
  </si>
  <si>
    <t>Учреждение «Гомельская областная специализированная клиническая больница», именуемое в дальнейшем «Исполнитель», в лице кассира  бухгалтерии Попе-</t>
  </si>
  <si>
    <t xml:space="preserve">лухиной Т.В., действующей на основании доверенности № 06/6-1 от 03.03.2025г., с одной стороны и гражданин (ка) </t>
  </si>
  <si>
    <t>именуемый (ая) в дальнейшем «Заказчик», действующий (ая) на основании собственного волеизъвления, с другой стороны, заключили настоящий договор о</t>
  </si>
  <si>
    <t>нижеследующем:</t>
  </si>
  <si>
    <t>1. Предмет договора</t>
  </si>
  <si>
    <t>1.1. Заказчик поручает, а Исполнитель обязуется в соответсвии с условиями договора оказать платные медицинские услуги в следующем объеме:</t>
  </si>
  <si>
    <t>№ пункта прейскуранта</t>
  </si>
  <si>
    <t>Наименование медицинских услуг</t>
  </si>
  <si>
    <t>Кол-во</t>
  </si>
  <si>
    <t>Тариф</t>
  </si>
  <si>
    <t>Стоимость основных и вспомогательных материалов</t>
  </si>
  <si>
    <t>в том числе НДС по материалам, 10%</t>
  </si>
  <si>
    <t>Всего, руб.</t>
  </si>
  <si>
    <t>ИТОГО:</t>
  </si>
  <si>
    <t xml:space="preserve">1.2. Исполнитель самостоятельно назначает время и очередность приема пациентов, определяет необходимость и сроки, виды оказания медицинских услуг, применяемые лекарственные средства, изделия медицинского назначения и другие расходные материалы. </t>
  </si>
  <si>
    <t>2. Стоимость услуг и порядок расчетов</t>
  </si>
  <si>
    <t xml:space="preserve">2.1.Стоимость услуг, предоставляемых Заказчику, определяется в соответствии  с прейскурантом цен, разработанным в соответствии с законодательством </t>
  </si>
  <si>
    <t>Республики Беларусь и утвержденным Исполнитетелем.  На момент подписания настоящего договора стоимость услуг составляет:</t>
  </si>
  <si>
    <t>Ноль рублей 00 копеек</t>
  </si>
  <si>
    <t>2.2. Заказчик дополнительно оплачивает лекарственные средства, изделия медицинского назначения и другие материалы, использованные при оказании платных медицинских услуг.</t>
  </si>
  <si>
    <t>2.3. До начала оказания услуг Заказчик производит предоплату в размере 100% стоимости услуг, указанных в п. 1.1. договора.</t>
  </si>
  <si>
    <t>2.4.Актом выполненных услуг по настоящему договору является сам договор.</t>
  </si>
  <si>
    <t>2.5.При уменьшении объема медицинских услуг или отказе Заказчика от оказания части медицинских услуг Исполнитель обязан произвести возврат денежных средств за медицинские услуги, которые не были оказаны Заказчику не позднее 5 банковских дней со дня подачи заявления. Основанием для возврата денежных средств является предоставление Исполнителю соответствующего заявления с приложением оригинала чека за оплаченную медицинскую услугу и настоящего договора.</t>
  </si>
  <si>
    <t>3. Права и обязанности сторон</t>
  </si>
  <si>
    <t>3.1. Исполнитель обязан:</t>
  </si>
  <si>
    <t>3.1.1. обеспечить соответствие оказываемых платных медицинсикх услуг требованиям, установленным законодательствам Республики Беларусь;</t>
  </si>
  <si>
    <t>3.1.2. выдать Заказчику документ, подтверждающий прием наличных денежных средств, в соответствии с законодательством Республики Беларусь;</t>
  </si>
  <si>
    <t>3.1.3. проводить контроль качества оказания платных медицинских услуг в пределах должностных обязанностей ответственных лиц Исполнителя.</t>
  </si>
  <si>
    <t>3.2. Заказчик обязан:</t>
  </si>
  <si>
    <t>3.2.1. до начала оказания медицинских услуг предоставить Исполнителю информацию о состоянии здоровья (перенесенных и имеющихся заболеваниях, операциях, травмах, проведенных ранее обследованиях и лечении, наличии аллергических реакций, иных обстоятельствах), которая необходима для правильной постановки диагноза, выбора плана оказания услуг и которая может повлиять на результат и качество оказываемых услуг;</t>
  </si>
  <si>
    <t>3.2.2. своевременно и в полном объеме произвести оплату медицинских услуг;</t>
  </si>
  <si>
    <t>3.2.3.своевременно информировать Исполнителя об обстоятельствах, которые могут повлиять на исполнение настоящего договора;</t>
  </si>
  <si>
    <t>3.2.4.выполнять рекомендации врача, обеспечивающие качественное предоставление медицинских услуг, соблюдать правила внутреннего распорядка.</t>
  </si>
  <si>
    <t>3.3.  Исполнитель имеет право:</t>
  </si>
  <si>
    <t>3.3.1.в случае возникновения неотложных состояний самостоятельнно определять объем и характер исследований, манипуляций, оперативных вмешательств, необходимых для установления диагноза, обследования и оказания медицинской помощи, в том числе и не предусмотренных договором.</t>
  </si>
  <si>
    <t>3.4. Заказчик имеет право:</t>
  </si>
  <si>
    <t>3.4.1.  требовать и получать услуги надлежащего качества.</t>
  </si>
  <si>
    <t>3.4.2. до начала лечения или обследования отказаться от получения медицинской услуги и получить обратно оплаченную сумму.</t>
  </si>
  <si>
    <t>4. Ответственность сторон</t>
  </si>
  <si>
    <t>4.1. За неисполнение или ненадлежащее исполнение принятых на себя обязательств по настоящему договору стороны несут ответственность в соответствии с законодательством Республики Беларусь.</t>
  </si>
  <si>
    <t>4.2. Споры, возникающие между Заказчиком и Исполнителем по исполнению настоящего договора, разрешаются по соглашению сторон или в судебном порядке в соответствии с законодательством Республики Беларусь.</t>
  </si>
  <si>
    <t>4.3. Исполнитель освобождается от ответственности за неисполнение или ненадлежащее исполнение настоящего договора, причиной которого стали обстоятельства непреодолимой силы.</t>
  </si>
  <si>
    <t>5. Особые условия</t>
  </si>
  <si>
    <t>5.1. Заказчик дает согласие на оказание услуг согласно п. 1.1. договора.</t>
  </si>
  <si>
    <t>5.2. Договор вступает в силу с момента его подписания и действует до момента исполнения сторонами обязательств по настоящему договору.</t>
  </si>
  <si>
    <t>5.3.Настоящий договор составлен в двух экземплярах имеющих равную юридическую силу, один экземпляр находится у Исполнителя, второй - у Заказчика.</t>
  </si>
  <si>
    <t>«ИСПОЛНИТЕЛЬ»</t>
  </si>
  <si>
    <t>«ЗАКАЗЧИК»</t>
  </si>
  <si>
    <t>Учреждение "Гомельская областная специализированная клиническая больница"</t>
  </si>
  <si>
    <t>Паспорт №</t>
  </si>
  <si>
    <t>НВ</t>
  </si>
  <si>
    <t>246041, г.Гомель, ул. Медицинская, 6</t>
  </si>
  <si>
    <t>Кем выдан</t>
  </si>
  <si>
    <t>Советстким РОВД</t>
  </si>
  <si>
    <t>BY82АКВВ36324003500053000000</t>
  </si>
  <si>
    <t>Дата выдачи</t>
  </si>
  <si>
    <t>фил. 300 АСБ "Беларусбанк" BIC АКBBBY21300</t>
  </si>
  <si>
    <t>Дом. адрес</t>
  </si>
  <si>
    <t>УНН 400079708</t>
  </si>
  <si>
    <t>(подпись)</t>
  </si>
  <si>
    <t>КОПИЯ ЧЕКА б/н</t>
  </si>
  <si>
    <t>Дана</t>
  </si>
  <si>
    <t>Всего на сумму:</t>
  </si>
  <si>
    <t>Кассир</t>
  </si>
  <si>
    <t>Попелухина Т.В.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</si>
</sst>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.mm\.yyyy;@"/>
  </numFmts>
  <fonts count="1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i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1"/>
      <color theme="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left" vertical="center" wrapText="1"/>
    </xf>
    <xf numFmtId="0" fontId="3" fillId="0" borderId="1" xfId="0" applyFont="1" applyBorder="1"/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horizontal="justify" vertical="distributed"/>
    </xf>
    <xf numFmtId="0" fontId="0" fillId="0" borderId="1" xfId="0" applyBorder="1"/>
    <xf numFmtId="0" fontId="0" fillId="0" borderId="1" xfId="0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1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2" fontId="1" fillId="0" borderId="5" xfId="0" applyNumberFormat="1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49" fontId="7" fillId="0" borderId="6" xfId="0" applyNumberFormat="1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2" fontId="7" fillId="0" borderId="6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left" vertical="center" wrapText="1"/>
    </xf>
    <xf numFmtId="2" fontId="10" fillId="0" borderId="7" xfId="0" applyNumberFormat="1" applyFont="1" applyBorder="1" applyAlignment="1">
      <alignment horizontal="center" vertical="center" wrapText="1"/>
    </xf>
    <xf numFmtId="2" fontId="10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2" fillId="0" borderId="6" xfId="0" applyFont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2" fontId="2" fillId="0" borderId="6" xfId="0" applyNumberFormat="1" applyFont="1" applyBorder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justify" vertical="distributed" wrapText="1"/>
    </xf>
    <xf numFmtId="0" fontId="3" fillId="0" borderId="0" xfId="0" applyFont="1" applyAlignment="1">
      <alignment horizontal="left" vertical="distributed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justify" vertical="distributed"/>
    </xf>
    <xf numFmtId="0" fontId="9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14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2" fontId="11" fillId="0" borderId="0" xfId="0" applyNumberFormat="1" applyFont="1" applyAlignment="1">
      <alignment horizontal="left"/>
    </xf>
    <xf numFmtId="0" fontId="5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54B6-3F19-45E9-8596-7A63905A0517}">
  <dimension ref="A1:G65"/>
  <sheetViews>
    <sheetView topLeftCell="A56" zoomScaleNormal="100" workbookViewId="0">
      <selection activeCell="A30" sqref="A30:G30"/>
    </sheetView>
  </sheetViews>
  <sheetFormatPr defaultRowHeight="14.4" x14ac:dyDescent="0.3"/>
  <cols>
    <col min="2" max="2" width="30.109375" customWidth="1"/>
    <col min="3" max="3" width="19.6640625" customWidth="1"/>
    <col min="4" max="4" width="15" customWidth="1"/>
    <col min="6" max="6" width="17.6640625" customWidth="1"/>
    <col min="7" max="7" width="9.88671875" bestFit="1" customWidth="1"/>
  </cols>
  <sheetData>
    <row r="1" spans="1:7" x14ac:dyDescent="0.3">
      <c r="A1" s="43" t="s">
        <v>0</v>
      </c>
      <c r="B1" s="43"/>
      <c r="C1" s="64"/>
      <c r="D1" s="1"/>
      <c r="E1" s="1"/>
      <c r="F1" s="1"/>
      <c r="G1" s="1"/>
    </row>
    <row r="2" spans="1:7" x14ac:dyDescent="0.3">
      <c r="A2" s="44" t="s">
        <v>1</v>
      </c>
      <c r="B2" s="44"/>
      <c r="C2" s="44"/>
      <c r="D2" s="44"/>
      <c r="E2" s="44"/>
      <c r="F2" s="44"/>
      <c r="G2" s="44"/>
    </row>
    <row r="3" spans="1:7" x14ac:dyDescent="0.3">
      <c r="A3" s="2" t="s">
        <v>2</v>
      </c>
      <c r="B3" s="3"/>
      <c r="C3" s="3"/>
      <c r="D3" s="3"/>
      <c r="E3" s="2"/>
      <c r="F3" s="2"/>
      <c r="G3" s="4">
        <v>45793</v>
      </c>
    </row>
    <row r="4" spans="1:7" x14ac:dyDescent="0.3">
      <c r="A4" s="45" t="s">
        <v>3</v>
      </c>
      <c r="B4" s="45"/>
      <c r="C4" s="45"/>
      <c r="D4" s="45"/>
      <c r="E4" s="45"/>
      <c r="F4" s="45"/>
      <c r="G4" s="45"/>
    </row>
    <row r="5" spans="1:7" ht="16.2" x14ac:dyDescent="0.35">
      <c r="A5" s="2" t="s">
        <v>4</v>
      </c>
      <c r="B5" s="2"/>
      <c r="C5" s="5"/>
      <c r="D5" s="5"/>
      <c r="E5" s="63"/>
      <c r="F5" s="63"/>
      <c r="G5" s="63"/>
    </row>
    <row r="6" spans="1:7" x14ac:dyDescent="0.3">
      <c r="A6" s="45" t="s">
        <v>5</v>
      </c>
      <c r="B6" s="45"/>
      <c r="C6" s="45"/>
      <c r="D6" s="45"/>
      <c r="E6" s="45"/>
      <c r="F6" s="45"/>
      <c r="G6" s="45"/>
    </row>
    <row r="7" spans="1:7" x14ac:dyDescent="0.3">
      <c r="A7" s="46" t="s">
        <v>6</v>
      </c>
      <c r="B7" s="46"/>
      <c r="C7" s="46"/>
      <c r="D7" s="46"/>
      <c r="E7" s="46"/>
      <c r="F7" s="46"/>
      <c r="G7" s="46"/>
    </row>
    <row r="8" spans="1:7" x14ac:dyDescent="0.3">
      <c r="A8" s="47" t="s">
        <v>7</v>
      </c>
      <c r="B8" s="47"/>
      <c r="C8" s="47"/>
      <c r="D8" s="47"/>
      <c r="E8" s="47"/>
      <c r="F8" s="47"/>
      <c r="G8" s="47"/>
    </row>
    <row r="9" spans="1:7" x14ac:dyDescent="0.3">
      <c r="A9" s="48" t="s">
        <v>8</v>
      </c>
      <c r="B9" s="48"/>
      <c r="C9" s="48"/>
      <c r="D9" s="48"/>
      <c r="E9" s="48"/>
      <c r="F9" s="48"/>
      <c r="G9" s="48"/>
    </row>
    <row r="10" spans="1:7" ht="51" x14ac:dyDescent="0.3">
      <c r="A10" s="16" t="s">
        <v>9</v>
      </c>
      <c r="B10" s="17" t="s">
        <v>10</v>
      </c>
      <c r="C10" s="17" t="s">
        <v>11</v>
      </c>
      <c r="D10" s="17" t="s">
        <v>12</v>
      </c>
      <c r="E10" s="17" t="s">
        <v>13</v>
      </c>
      <c r="F10" s="17" t="s">
        <v>14</v>
      </c>
      <c r="G10" s="17" t="s">
        <v>15</v>
      </c>
    </row>
    <row r="11" spans="1:7" ht="15.6" x14ac:dyDescent="0.3">
      <c r="A11" s="22"/>
      <c r="B11" s="23"/>
      <c r="C11" s="24"/>
      <c r="D11" s="24"/>
      <c r="E11" s="25"/>
      <c r="F11" s="25"/>
      <c r="G11" s="25"/>
    </row>
    <row r="12" spans="1:7" ht="15.6" x14ac:dyDescent="0.3">
      <c r="A12" s="26"/>
      <c r="B12" s="23"/>
      <c r="C12" s="24"/>
      <c r="D12" s="24"/>
      <c r="E12" s="25"/>
      <c r="F12" s="25"/>
      <c r="G12" s="25"/>
    </row>
    <row r="13" spans="1:7" ht="15.6" x14ac:dyDescent="0.3">
      <c r="A13" s="26"/>
      <c r="B13" s="23"/>
      <c r="C13" s="24"/>
      <c r="D13" s="24"/>
      <c r="E13" s="25"/>
      <c r="F13" s="25"/>
      <c r="G13" s="25"/>
    </row>
    <row r="14" spans="1:7" ht="15.6" x14ac:dyDescent="0.3">
      <c r="A14" s="26"/>
      <c r="B14" s="23"/>
      <c r="C14" s="24"/>
      <c r="D14" s="24"/>
      <c r="E14" s="25"/>
      <c r="F14" s="25"/>
      <c r="G14" s="25"/>
    </row>
    <row r="15" spans="1:7" ht="15.6" x14ac:dyDescent="0.3">
      <c r="A15" s="26"/>
      <c r="B15" s="23"/>
      <c r="C15" s="24"/>
      <c r="D15" s="24"/>
      <c r="E15" s="25"/>
      <c r="F15" s="25"/>
      <c r="G15" s="25"/>
    </row>
    <row r="16" spans="1:7" ht="15.6" x14ac:dyDescent="0.3">
      <c r="A16" s="26"/>
      <c r="B16" s="23"/>
      <c r="C16" s="24"/>
      <c r="D16" s="24"/>
      <c r="E16" s="25"/>
      <c r="F16" s="25"/>
      <c r="G16" s="25"/>
    </row>
    <row r="17" spans="1:7" ht="15.6" x14ac:dyDescent="0.3">
      <c r="A17" s="26"/>
      <c r="B17" s="23"/>
      <c r="C17" s="24"/>
      <c r="D17" s="24"/>
      <c r="E17" s="25"/>
      <c r="F17" s="25"/>
      <c r="G17" s="25"/>
    </row>
    <row r="18" spans="1:7" ht="15.6" x14ac:dyDescent="0.3">
      <c r="A18" s="26"/>
      <c r="B18" s="23"/>
      <c r="C18" s="24"/>
      <c r="D18" s="24"/>
      <c r="E18" s="25"/>
      <c r="F18" s="25"/>
      <c r="G18" s="25"/>
    </row>
    <row r="19" spans="1:7" ht="15.6" x14ac:dyDescent="0.3">
      <c r="A19" s="26"/>
      <c r="B19" s="23"/>
      <c r="C19" s="24"/>
      <c r="D19" s="24"/>
      <c r="E19" s="25"/>
      <c r="F19" s="25"/>
      <c r="G19" s="25"/>
    </row>
    <row r="20" spans="1:7" ht="15.6" x14ac:dyDescent="0.3">
      <c r="A20" s="26"/>
      <c r="B20" s="23"/>
      <c r="C20" s="24"/>
      <c r="D20" s="24"/>
      <c r="E20" s="25"/>
      <c r="F20" s="25"/>
      <c r="G20" s="25"/>
    </row>
    <row r="21" spans="1:7" ht="15.6" x14ac:dyDescent="0.3">
      <c r="A21" s="26"/>
      <c r="B21" s="23"/>
      <c r="C21" s="24"/>
      <c r="D21" s="24"/>
      <c r="E21" s="25"/>
      <c r="F21" s="25"/>
      <c r="G21" s="25"/>
    </row>
    <row r="22" spans="1:7" ht="15.6" x14ac:dyDescent="0.3">
      <c r="A22" s="26"/>
      <c r="B22" s="23"/>
      <c r="C22" s="24"/>
      <c r="D22" s="24"/>
      <c r="E22" s="25"/>
      <c r="F22" s="25"/>
      <c r="G22" s="25"/>
    </row>
    <row r="23" spans="1:7" x14ac:dyDescent="0.3">
      <c r="A23" s="18"/>
      <c r="B23" s="19" t="s">
        <v>16</v>
      </c>
      <c r="C23" s="20"/>
      <c r="D23" s="21">
        <f>SUM(D11:D22)</f>
        <v>0</v>
      </c>
      <c r="E23" s="21">
        <f t="shared" ref="E23:G23" si="0">SUM(E11:E22)</f>
        <v>0</v>
      </c>
      <c r="F23" s="21">
        <f t="shared" si="0"/>
        <v>0</v>
      </c>
      <c r="G23" s="21">
        <f t="shared" si="0"/>
        <v>0</v>
      </c>
    </row>
    <row r="24" spans="1:7" x14ac:dyDescent="0.3">
      <c r="A24" s="42" t="s">
        <v>17</v>
      </c>
      <c r="B24" s="42"/>
      <c r="C24" s="42"/>
      <c r="D24" s="42"/>
      <c r="E24" s="42"/>
      <c r="F24" s="42"/>
      <c r="G24" s="42"/>
    </row>
    <row r="25" spans="1:7" x14ac:dyDescent="0.3">
      <c r="A25" s="44" t="s">
        <v>18</v>
      </c>
      <c r="B25" s="44"/>
      <c r="C25" s="44"/>
      <c r="D25" s="44"/>
      <c r="E25" s="44"/>
      <c r="F25" s="44"/>
      <c r="G25" s="44"/>
    </row>
    <row r="26" spans="1:7" x14ac:dyDescent="0.3">
      <c r="A26" s="42" t="s">
        <v>19</v>
      </c>
      <c r="B26" s="42"/>
      <c r="C26" s="42"/>
      <c r="D26" s="42"/>
      <c r="E26" s="42"/>
      <c r="F26" s="42"/>
      <c r="G26" s="42"/>
    </row>
    <row r="27" spans="1:7" x14ac:dyDescent="0.3">
      <c r="A27" s="42" t="s">
        <v>20</v>
      </c>
      <c r="B27" s="42"/>
      <c r="C27" s="42"/>
      <c r="D27" s="42"/>
      <c r="E27" s="42"/>
      <c r="F27" s="42"/>
      <c r="G27" s="6">
        <f>G23</f>
        <v>0</v>
      </c>
    </row>
    <row r="28" spans="1:7" ht="16.2" x14ac:dyDescent="0.35">
      <c r="A28" s="50" t="s">
        <v>21</v>
      </c>
      <c r="B28" s="50"/>
      <c r="C28" s="50"/>
      <c r="D28" s="50"/>
      <c r="E28" s="7"/>
      <c r="F28" s="2"/>
      <c r="G28" s="3"/>
    </row>
    <row r="29" spans="1:7" x14ac:dyDescent="0.3">
      <c r="A29" s="42" t="s">
        <v>22</v>
      </c>
      <c r="B29" s="42"/>
      <c r="C29" s="42"/>
      <c r="D29" s="42"/>
      <c r="E29" s="42"/>
      <c r="F29" s="42"/>
      <c r="G29" s="42"/>
    </row>
    <row r="30" spans="1:7" x14ac:dyDescent="0.3">
      <c r="A30" s="42" t="s">
        <v>23</v>
      </c>
      <c r="B30" s="42"/>
      <c r="C30" s="42"/>
      <c r="D30" s="42"/>
      <c r="E30" s="42"/>
      <c r="F30" s="42"/>
      <c r="G30" s="42"/>
    </row>
    <row r="31" spans="1:7" x14ac:dyDescent="0.3">
      <c r="A31" s="42" t="s">
        <v>24</v>
      </c>
      <c r="B31" s="42"/>
      <c r="C31" s="42"/>
      <c r="D31" s="42"/>
      <c r="E31" s="42"/>
      <c r="F31" s="42"/>
      <c r="G31" s="42"/>
    </row>
    <row r="32" spans="1:7" x14ac:dyDescent="0.3">
      <c r="A32" s="42" t="s">
        <v>25</v>
      </c>
      <c r="B32" s="42"/>
      <c r="C32" s="42"/>
      <c r="D32" s="42"/>
      <c r="E32" s="42"/>
      <c r="F32" s="42"/>
      <c r="G32" s="42"/>
    </row>
    <row r="33" spans="1:7" x14ac:dyDescent="0.3">
      <c r="A33" s="44" t="s">
        <v>26</v>
      </c>
      <c r="B33" s="44"/>
      <c r="C33" s="44"/>
      <c r="D33" s="44"/>
      <c r="E33" s="44"/>
      <c r="F33" s="44"/>
      <c r="G33" s="44"/>
    </row>
    <row r="34" spans="1:7" x14ac:dyDescent="0.3">
      <c r="A34" s="51" t="s">
        <v>27</v>
      </c>
      <c r="B34" s="51"/>
      <c r="C34" s="51"/>
      <c r="D34" s="51"/>
      <c r="E34" s="51"/>
      <c r="F34" s="51"/>
      <c r="G34" s="51"/>
    </row>
    <row r="35" spans="1:7" x14ac:dyDescent="0.3">
      <c r="A35" s="51" t="s">
        <v>28</v>
      </c>
      <c r="B35" s="51"/>
      <c r="C35" s="51"/>
      <c r="D35" s="51"/>
      <c r="E35" s="51"/>
      <c r="F35" s="51"/>
      <c r="G35" s="51"/>
    </row>
    <row r="36" spans="1:7" x14ac:dyDescent="0.3">
      <c r="A36" s="42" t="s">
        <v>29</v>
      </c>
      <c r="B36" s="42"/>
      <c r="C36" s="42"/>
      <c r="D36" s="42"/>
      <c r="E36" s="42"/>
      <c r="F36" s="42"/>
      <c r="G36" s="42"/>
    </row>
    <row r="37" spans="1:7" x14ac:dyDescent="0.3">
      <c r="A37" s="52" t="s">
        <v>30</v>
      </c>
      <c r="B37" s="52"/>
      <c r="C37" s="52"/>
      <c r="D37" s="52"/>
      <c r="E37" s="52"/>
      <c r="F37" s="52"/>
      <c r="G37" s="52"/>
    </row>
    <row r="38" spans="1:7" x14ac:dyDescent="0.3">
      <c r="A38" s="52" t="s">
        <v>31</v>
      </c>
      <c r="B38" s="52"/>
      <c r="C38" s="52"/>
      <c r="D38" s="52"/>
      <c r="E38" s="52"/>
      <c r="F38" s="52"/>
      <c r="G38" s="52"/>
    </row>
    <row r="39" spans="1:7" x14ac:dyDescent="0.3">
      <c r="A39" s="49" t="s">
        <v>32</v>
      </c>
      <c r="B39" s="49"/>
      <c r="C39" s="49"/>
      <c r="D39" s="49"/>
      <c r="E39" s="49"/>
      <c r="F39" s="49"/>
      <c r="G39" s="49"/>
    </row>
    <row r="40" spans="1:7" x14ac:dyDescent="0.3">
      <c r="A40" s="49" t="s">
        <v>33</v>
      </c>
      <c r="B40" s="49"/>
      <c r="C40" s="49"/>
      <c r="D40" s="49"/>
      <c r="E40" s="49"/>
      <c r="F40" s="49"/>
      <c r="G40" s="49"/>
    </row>
    <row r="41" spans="1:7" x14ac:dyDescent="0.3">
      <c r="A41" s="49" t="s">
        <v>34</v>
      </c>
      <c r="B41" s="49"/>
      <c r="C41" s="49"/>
      <c r="D41" s="49"/>
      <c r="E41" s="49"/>
      <c r="F41" s="49"/>
      <c r="G41" s="49"/>
    </row>
    <row r="42" spans="1:7" x14ac:dyDescent="0.3">
      <c r="A42" s="48" t="s">
        <v>35</v>
      </c>
      <c r="B42" s="48"/>
      <c r="C42" s="48"/>
      <c r="D42" s="48"/>
      <c r="E42" s="48"/>
      <c r="F42" s="48"/>
      <c r="G42" s="48"/>
    </row>
    <row r="43" spans="1:7" x14ac:dyDescent="0.3">
      <c r="A43" s="48" t="s">
        <v>36</v>
      </c>
      <c r="B43" s="48"/>
      <c r="C43" s="48"/>
      <c r="D43" s="48"/>
      <c r="E43" s="48"/>
      <c r="F43" s="48"/>
      <c r="G43" s="48"/>
    </row>
    <row r="44" spans="1:7" x14ac:dyDescent="0.3">
      <c r="A44" s="53" t="s">
        <v>37</v>
      </c>
      <c r="B44" s="53"/>
      <c r="C44" s="53"/>
      <c r="D44" s="53"/>
      <c r="E44" s="53"/>
      <c r="F44" s="53"/>
      <c r="G44" s="53"/>
    </row>
    <row r="45" spans="1:7" x14ac:dyDescent="0.3">
      <c r="A45" s="48" t="s">
        <v>38</v>
      </c>
      <c r="B45" s="48"/>
      <c r="C45" s="48"/>
      <c r="D45" s="48"/>
      <c r="E45" s="48"/>
      <c r="F45" s="48"/>
      <c r="G45" s="48"/>
    </row>
    <row r="46" spans="1:7" x14ac:dyDescent="0.3">
      <c r="A46" s="48" t="s">
        <v>39</v>
      </c>
      <c r="B46" s="48"/>
      <c r="C46" s="48"/>
      <c r="D46" s="48"/>
      <c r="E46" s="48"/>
      <c r="F46" s="48"/>
      <c r="G46" s="48"/>
    </row>
    <row r="47" spans="1:7" x14ac:dyDescent="0.3">
      <c r="A47" s="48" t="s">
        <v>40</v>
      </c>
      <c r="B47" s="48"/>
      <c r="C47" s="48"/>
      <c r="D47" s="48"/>
      <c r="E47" s="48"/>
      <c r="F47" s="48"/>
      <c r="G47" s="48"/>
    </row>
    <row r="48" spans="1:7" x14ac:dyDescent="0.3">
      <c r="A48" s="47" t="s">
        <v>41</v>
      </c>
      <c r="B48" s="47"/>
      <c r="C48" s="47"/>
      <c r="D48" s="47"/>
      <c r="E48" s="47"/>
      <c r="F48" s="47"/>
      <c r="G48" s="47"/>
    </row>
    <row r="49" spans="1:7" x14ac:dyDescent="0.3">
      <c r="A49" s="45" t="s">
        <v>42</v>
      </c>
      <c r="B49" s="45"/>
      <c r="C49" s="45"/>
      <c r="D49" s="45"/>
      <c r="E49" s="45"/>
      <c r="F49" s="45"/>
      <c r="G49" s="45"/>
    </row>
    <row r="50" spans="1:7" x14ac:dyDescent="0.3">
      <c r="A50" s="45" t="s">
        <v>43</v>
      </c>
      <c r="B50" s="45"/>
      <c r="C50" s="45"/>
      <c r="D50" s="45"/>
      <c r="E50" s="45"/>
      <c r="F50" s="45"/>
      <c r="G50" s="45"/>
    </row>
    <row r="51" spans="1:7" x14ac:dyDescent="0.3">
      <c r="A51" s="45" t="s">
        <v>44</v>
      </c>
      <c r="B51" s="45"/>
      <c r="C51" s="45"/>
      <c r="D51" s="45"/>
      <c r="E51" s="45"/>
      <c r="F51" s="45"/>
      <c r="G51" s="45"/>
    </row>
    <row r="52" spans="1:7" x14ac:dyDescent="0.3">
      <c r="A52" s="44" t="s">
        <v>45</v>
      </c>
      <c r="B52" s="44"/>
      <c r="C52" s="44"/>
      <c r="D52" s="44"/>
      <c r="E52" s="44"/>
      <c r="F52" s="44"/>
      <c r="G52" s="44"/>
    </row>
    <row r="53" spans="1:7" x14ac:dyDescent="0.3">
      <c r="A53" s="45" t="s">
        <v>46</v>
      </c>
      <c r="B53" s="45"/>
      <c r="C53" s="45"/>
      <c r="D53" s="45"/>
      <c r="E53" s="45"/>
      <c r="F53" s="45"/>
      <c r="G53" s="45"/>
    </row>
    <row r="54" spans="1:7" x14ac:dyDescent="0.3">
      <c r="A54" s="45" t="s">
        <v>47</v>
      </c>
      <c r="B54" s="45"/>
      <c r="C54" s="45"/>
      <c r="D54" s="45"/>
      <c r="E54" s="45"/>
      <c r="F54" s="45"/>
      <c r="G54" s="45"/>
    </row>
    <row r="55" spans="1:7" x14ac:dyDescent="0.3">
      <c r="A55" s="45" t="s">
        <v>48</v>
      </c>
      <c r="B55" s="45"/>
      <c r="C55" s="45"/>
      <c r="D55" s="45"/>
      <c r="E55" s="45"/>
      <c r="F55" s="45"/>
      <c r="G55" s="45"/>
    </row>
    <row r="56" spans="1:7" x14ac:dyDescent="0.3">
      <c r="A56" s="3"/>
      <c r="B56" s="3"/>
      <c r="C56" s="3"/>
      <c r="D56" s="3"/>
      <c r="E56" s="3"/>
      <c r="F56" s="3"/>
      <c r="G56" s="3"/>
    </row>
    <row r="57" spans="1:7" x14ac:dyDescent="0.3">
      <c r="A57" s="54" t="s">
        <v>49</v>
      </c>
      <c r="B57" s="54"/>
      <c r="C57" s="3"/>
      <c r="D57" s="54" t="s">
        <v>50</v>
      </c>
      <c r="E57" s="54"/>
      <c r="F57" s="8"/>
      <c r="G57" s="3"/>
    </row>
    <row r="58" spans="1:7" x14ac:dyDescent="0.3">
      <c r="A58" s="53" t="s">
        <v>51</v>
      </c>
      <c r="B58" s="53"/>
      <c r="C58" s="3"/>
      <c r="D58" s="9" t="s">
        <v>52</v>
      </c>
      <c r="E58" s="57" t="s">
        <v>53</v>
      </c>
      <c r="F58" s="57"/>
      <c r="G58" s="57"/>
    </row>
    <row r="59" spans="1:7" x14ac:dyDescent="0.3">
      <c r="A59" s="49" t="s">
        <v>54</v>
      </c>
      <c r="B59" s="49"/>
      <c r="C59" s="3"/>
      <c r="D59" s="9" t="s">
        <v>55</v>
      </c>
      <c r="E59" s="57" t="s">
        <v>56</v>
      </c>
      <c r="F59" s="57"/>
      <c r="G59" s="57"/>
    </row>
    <row r="60" spans="1:7" x14ac:dyDescent="0.3">
      <c r="A60" s="45" t="s">
        <v>57</v>
      </c>
      <c r="B60" s="45"/>
      <c r="C60" s="3"/>
      <c r="D60" s="9" t="s">
        <v>58</v>
      </c>
      <c r="E60" s="58"/>
      <c r="F60" s="59"/>
      <c r="G60" s="59"/>
    </row>
    <row r="61" spans="1:7" x14ac:dyDescent="0.3">
      <c r="A61" s="55" t="s">
        <v>59</v>
      </c>
      <c r="B61" s="55"/>
      <c r="C61" s="3"/>
      <c r="D61" s="9" t="s">
        <v>60</v>
      </c>
      <c r="E61" s="56"/>
      <c r="F61" s="56"/>
      <c r="G61" s="56"/>
    </row>
    <row r="62" spans="1:7" x14ac:dyDescent="0.3">
      <c r="A62" s="55" t="s">
        <v>61</v>
      </c>
      <c r="B62" s="55"/>
      <c r="D62" s="9"/>
      <c r="E62" s="10"/>
      <c r="F62" s="11"/>
    </row>
    <row r="63" spans="1:7" x14ac:dyDescent="0.3">
      <c r="A63" s="12"/>
      <c r="B63" s="12"/>
      <c r="D63" s="9"/>
      <c r="E63" s="10"/>
      <c r="F63" s="11"/>
    </row>
    <row r="64" spans="1:7" x14ac:dyDescent="0.3">
      <c r="A64" s="13"/>
      <c r="B64" s="13"/>
      <c r="D64" s="9">
        <f>E5</f>
        <v>0</v>
      </c>
      <c r="E64" s="14"/>
      <c r="F64" s="13"/>
      <c r="G64" s="13"/>
    </row>
    <row r="65" spans="2:6" x14ac:dyDescent="0.3">
      <c r="B65" s="15" t="s">
        <v>62</v>
      </c>
      <c r="D65" s="9"/>
      <c r="F65" s="15" t="s">
        <v>62</v>
      </c>
    </row>
  </sheetData>
  <mergeCells count="51">
    <mergeCell ref="A61:B61"/>
    <mergeCell ref="E61:G61"/>
    <mergeCell ref="A62:B62"/>
    <mergeCell ref="A58:B58"/>
    <mergeCell ref="E58:G58"/>
    <mergeCell ref="A59:B59"/>
    <mergeCell ref="E59:G59"/>
    <mergeCell ref="A60:B60"/>
    <mergeCell ref="E60:G60"/>
    <mergeCell ref="A52:G52"/>
    <mergeCell ref="A53:G53"/>
    <mergeCell ref="A54:G54"/>
    <mergeCell ref="A55:G55"/>
    <mergeCell ref="A57:B57"/>
    <mergeCell ref="D57:E57"/>
    <mergeCell ref="A51:G51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39:G39"/>
    <mergeCell ref="A28:D28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27:F27"/>
    <mergeCell ref="A1:B1"/>
    <mergeCell ref="A2:G2"/>
    <mergeCell ref="A4:G4"/>
    <mergeCell ref="E5:G5"/>
    <mergeCell ref="A6:G6"/>
    <mergeCell ref="A7:G7"/>
    <mergeCell ref="A8:G8"/>
    <mergeCell ref="A9:G9"/>
    <mergeCell ref="A24:G24"/>
    <mergeCell ref="A25:G25"/>
    <mergeCell ref="A26:G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BF5D-6D09-48FF-B2F7-C6BECA043545}">
  <dimension ref="A1:G25"/>
  <sheetViews>
    <sheetView tabSelected="1" workbookViewId="0">
      <selection activeCell="A4" sqref="A4:G4"/>
    </sheetView>
  </sheetViews>
  <sheetFormatPr defaultRowHeight="14.4" x14ac:dyDescent="0.3"/>
  <cols>
    <col min="5" max="6" width="8.5546875" bestFit="1" customWidth="1"/>
    <col min="7" max="7" width="7.6640625" bestFit="1" customWidth="1"/>
  </cols>
  <sheetData>
    <row r="1" spans="1:7" x14ac:dyDescent="0.3">
      <c r="A1" s="27" t="s">
        <v>51</v>
      </c>
    </row>
    <row r="2" spans="1:7" x14ac:dyDescent="0.3">
      <c r="A2" s="27" t="s">
        <v>54</v>
      </c>
    </row>
    <row r="3" spans="1:7" x14ac:dyDescent="0.3">
      <c r="A3" s="60" t="s">
        <v>63</v>
      </c>
      <c r="B3" s="60"/>
      <c r="C3" s="60"/>
      <c r="D3" s="60"/>
      <c r="E3" s="60"/>
      <c r="F3" s="60"/>
      <c r="G3" s="60"/>
    </row>
    <row r="4" spans="1:7" x14ac:dyDescent="0.3">
      <c r="A4" s="65">
        <f>'Платные услуги'!G3</f>
        <v>45793</v>
      </c>
      <c r="B4" s="66"/>
      <c r="C4" s="66"/>
      <c r="D4" s="66"/>
      <c r="E4" s="66"/>
      <c r="F4" s="66"/>
      <c r="G4" s="66"/>
    </row>
    <row r="5" spans="1:7" x14ac:dyDescent="0.3">
      <c r="A5" s="27" t="s">
        <v>64</v>
      </c>
      <c r="B5" s="28" cm="1">
        <f t="array" ref="B5:D5">'Платные услуги'!E5:G5</f>
        <v>0</v>
      </c>
      <c r="C5" s="29">
        <v>0</v>
      </c>
      <c r="D5" s="29">
        <v>0</v>
      </c>
      <c r="E5" s="27"/>
      <c r="F5" s="27"/>
      <c r="G5" s="27"/>
    </row>
    <row r="6" spans="1:7" x14ac:dyDescent="0.3">
      <c r="A6" s="27"/>
      <c r="B6" s="27"/>
      <c r="C6" s="27"/>
      <c r="D6" s="27"/>
      <c r="E6" s="27"/>
      <c r="F6" s="27"/>
      <c r="G6" s="27"/>
    </row>
    <row r="7" spans="1:7" ht="51" x14ac:dyDescent="0.3">
      <c r="A7" s="30" t="s">
        <v>9</v>
      </c>
      <c r="B7" s="31" t="s">
        <v>10</v>
      </c>
      <c r="C7" s="31" t="s">
        <v>11</v>
      </c>
      <c r="D7" s="31" t="s">
        <v>12</v>
      </c>
      <c r="E7" s="31" t="s">
        <v>13</v>
      </c>
      <c r="F7" s="31" t="s">
        <v>14</v>
      </c>
      <c r="G7" s="31" t="s">
        <v>15</v>
      </c>
    </row>
    <row r="8" spans="1:7" ht="55.2" x14ac:dyDescent="0.3">
      <c r="A8" s="32" t="str">
        <f>IF('Платные услуги'!A11&lt;&gt;"",'Платные услуги'!A11,"")</f>
        <v/>
      </c>
      <c r="B8" s="33">
        <f>'Платные услуги'!B11</f>
        <v>0</v>
      </c>
      <c r="C8" s="32">
        <f>'Платные услуги'!C11</f>
        <v>0</v>
      </c>
      <c r="D8" s="32">
        <f>'Платные услуги'!D11</f>
        <v>0</v>
      </c>
      <c r="E8" s="34">
        <f>'Платные услуги'!E11</f>
        <v>0</v>
      </c>
      <c r="F8" s="34">
        <f>'Платные услуги'!F11</f>
        <v>0</v>
      </c>
      <c r="G8" s="35">
        <f>'Платные услуги'!G11</f>
        <v>0</v>
      </c>
    </row>
    <row r="9" spans="1:7" x14ac:dyDescent="0.3">
      <c r="A9" s="32" t="str">
        <f>IF('Платные услуги'!A12&lt;&gt;"",'Платные услуги'!A12,"")</f>
        <v/>
      </c>
      <c r="B9" s="33">
        <f>'Платные услуги'!B12</f>
        <v>0</v>
      </c>
      <c r="C9" s="32">
        <f>'Платные услуги'!C12</f>
        <v>0</v>
      </c>
      <c r="D9" s="32">
        <f>'Платные услуги'!D12</f>
        <v>0</v>
      </c>
      <c r="E9" s="34">
        <f>'Платные услуги'!E12</f>
        <v>0</v>
      </c>
      <c r="F9" s="34">
        <f>'Платные услуги'!F12</f>
        <v>0</v>
      </c>
      <c r="G9" s="35">
        <f>'Платные услуги'!G12</f>
        <v>0</v>
      </c>
    </row>
    <row r="10" spans="1:7" x14ac:dyDescent="0.3">
      <c r="A10" s="32" t="str">
        <f>IF('Платные услуги'!A13&lt;&gt;"",'Платные услуги'!A13,"")</f>
        <v/>
      </c>
      <c r="B10" s="33">
        <f>'Платные услуги'!B13</f>
        <v>0</v>
      </c>
      <c r="C10" s="32">
        <f>'Платные услуги'!C13</f>
        <v>0</v>
      </c>
      <c r="D10" s="32">
        <f>'Платные услуги'!D13</f>
        <v>0</v>
      </c>
      <c r="E10" s="34">
        <f>'Платные услуги'!E13</f>
        <v>0</v>
      </c>
      <c r="F10" s="34">
        <f>'Платные услуги'!F13</f>
        <v>0</v>
      </c>
      <c r="G10" s="35">
        <f>'Платные услуги'!G13</f>
        <v>0</v>
      </c>
    </row>
    <row r="11" spans="1:7" x14ac:dyDescent="0.3">
      <c r="A11" s="32" t="str">
        <f>IF('Платные услуги'!A14&lt;&gt;"",'Платные услуги'!A14,"")</f>
        <v/>
      </c>
      <c r="B11" s="33">
        <f>'Платные услуги'!B14</f>
        <v>0</v>
      </c>
      <c r="C11" s="32">
        <f>'Платные услуги'!C14</f>
        <v>0</v>
      </c>
      <c r="D11" s="32">
        <f>'Платные услуги'!D14</f>
        <v>0</v>
      </c>
      <c r="E11" s="34">
        <f>'Платные услуги'!E14</f>
        <v>0</v>
      </c>
      <c r="F11" s="34">
        <f>'Платные услуги'!F14</f>
        <v>0</v>
      </c>
      <c r="G11" s="35">
        <f>'Платные услуги'!G14</f>
        <v>0</v>
      </c>
    </row>
    <row r="12" spans="1:7" x14ac:dyDescent="0.3">
      <c r="A12" s="32" t="str">
        <f>IF('Платные услуги'!A15&lt;&gt;"",'Платные услуги'!A15,"")</f>
        <v/>
      </c>
      <c r="B12" s="33">
        <f>'Платные услуги'!B15</f>
        <v>0</v>
      </c>
      <c r="C12" s="32">
        <f>'Платные услуги'!C15</f>
        <v>0</v>
      </c>
      <c r="D12" s="32">
        <f>'Платные услуги'!D15</f>
        <v>0</v>
      </c>
      <c r="E12" s="34">
        <f>'Платные услуги'!E15</f>
        <v>0</v>
      </c>
      <c r="F12" s="34">
        <f>'Платные услуги'!F15</f>
        <v>0</v>
      </c>
      <c r="G12" s="35">
        <f>'Платные услуги'!G15</f>
        <v>0</v>
      </c>
    </row>
    <row r="13" spans="1:7" x14ac:dyDescent="0.3">
      <c r="A13" s="32" t="str">
        <f>IF('Платные услуги'!A16&lt;&gt;"",'Платные услуги'!A16,"")</f>
        <v/>
      </c>
      <c r="B13" s="33">
        <f>'Платные услуги'!B16</f>
        <v>0</v>
      </c>
      <c r="C13" s="32">
        <f>'Платные услуги'!C16</f>
        <v>0</v>
      </c>
      <c r="D13" s="32">
        <f>'Платные услуги'!D16</f>
        <v>0</v>
      </c>
      <c r="E13" s="34">
        <f>'Платные услуги'!E16</f>
        <v>0</v>
      </c>
      <c r="F13" s="34">
        <f>'Платные услуги'!F16</f>
        <v>0</v>
      </c>
      <c r="G13" s="35">
        <f>'Платные услуги'!G16</f>
        <v>0</v>
      </c>
    </row>
    <row r="14" spans="1:7" x14ac:dyDescent="0.3">
      <c r="A14" s="32" t="str">
        <f>IF('Платные услуги'!A17&lt;&gt;"",'Платные услуги'!A17,"")</f>
        <v/>
      </c>
      <c r="B14" s="33">
        <f>'Платные услуги'!B17</f>
        <v>0</v>
      </c>
      <c r="C14" s="32">
        <f>'Платные услуги'!C17</f>
        <v>0</v>
      </c>
      <c r="D14" s="32">
        <f>'Платные услуги'!D17</f>
        <v>0</v>
      </c>
      <c r="E14" s="34">
        <f>'Платные услуги'!E17</f>
        <v>0</v>
      </c>
      <c r="F14" s="34">
        <f>'Платные услуги'!F17</f>
        <v>0</v>
      </c>
      <c r="G14" s="35">
        <f>'Платные услуги'!G17</f>
        <v>0</v>
      </c>
    </row>
    <row r="15" spans="1:7" x14ac:dyDescent="0.3">
      <c r="A15" s="32" t="str">
        <f>IF('Платные услуги'!A18&lt;&gt;"",'Платные услуги'!A18,"")</f>
        <v/>
      </c>
      <c r="B15" s="33">
        <f>'Платные услуги'!B18</f>
        <v>0</v>
      </c>
      <c r="C15" s="32">
        <f>'Платные услуги'!C18</f>
        <v>0</v>
      </c>
      <c r="D15" s="32">
        <f>'Платные услуги'!D18</f>
        <v>0</v>
      </c>
      <c r="E15" s="34">
        <f>'Платные услуги'!E18</f>
        <v>0</v>
      </c>
      <c r="F15" s="34">
        <f>'Платные услуги'!F18</f>
        <v>0</v>
      </c>
      <c r="G15" s="35">
        <f>'Платные услуги'!G18</f>
        <v>0</v>
      </c>
    </row>
    <row r="16" spans="1:7" x14ac:dyDescent="0.3">
      <c r="A16" s="32" t="str">
        <f>IF('Платные услуги'!A19&lt;&gt;"",'Платные услуги'!A19,"")</f>
        <v/>
      </c>
      <c r="B16" s="33">
        <f>'Платные услуги'!B19</f>
        <v>0</v>
      </c>
      <c r="C16" s="32">
        <f>'Платные услуги'!C19</f>
        <v>0</v>
      </c>
      <c r="D16" s="32">
        <f>'Платные услуги'!D19</f>
        <v>0</v>
      </c>
      <c r="E16" s="34">
        <f>'Платные услуги'!E19</f>
        <v>0</v>
      </c>
      <c r="F16" s="34">
        <f>'Платные услуги'!F19</f>
        <v>0</v>
      </c>
      <c r="G16" s="35">
        <f>'Платные услуги'!G19</f>
        <v>0</v>
      </c>
    </row>
    <row r="17" spans="1:7" x14ac:dyDescent="0.3">
      <c r="A17" s="32" t="str">
        <f>IF('Платные услуги'!A20&lt;&gt;"",'Платные услуги'!A20,"")</f>
        <v/>
      </c>
      <c r="B17" s="33">
        <f>'Платные услуги'!B20</f>
        <v>0</v>
      </c>
      <c r="C17" s="32">
        <f>'Платные услуги'!C20</f>
        <v>0</v>
      </c>
      <c r="D17" s="32">
        <f>'Платные услуги'!D20</f>
        <v>0</v>
      </c>
      <c r="E17" s="34">
        <f>'Платные услуги'!E20</f>
        <v>0</v>
      </c>
      <c r="F17" s="34">
        <f>'Платные услуги'!F20</f>
        <v>0</v>
      </c>
      <c r="G17" s="35">
        <f>'Платные услуги'!G20</f>
        <v>0</v>
      </c>
    </row>
    <row r="18" spans="1:7" x14ac:dyDescent="0.3">
      <c r="A18" s="32" t="str">
        <f>IF('Платные услуги'!A21&lt;&gt;"",'Платные услуги'!A21,"")</f>
        <v/>
      </c>
      <c r="B18" s="33">
        <f>'Платные услуги'!B21</f>
        <v>0</v>
      </c>
      <c r="C18" s="32">
        <f>'Платные услуги'!C21</f>
        <v>0</v>
      </c>
      <c r="D18" s="32">
        <f>'Платные услуги'!D21</f>
        <v>0</v>
      </c>
      <c r="E18" s="34">
        <f>'Платные услуги'!E21</f>
        <v>0</v>
      </c>
      <c r="F18" s="34">
        <f>'Платные услуги'!F21</f>
        <v>0</v>
      </c>
      <c r="G18" s="35">
        <f>'Платные услуги'!G21</f>
        <v>0</v>
      </c>
    </row>
    <row r="19" spans="1:7" x14ac:dyDescent="0.3">
      <c r="A19" s="32" t="str">
        <f>IF('Платные услуги'!A22&lt;&gt;"",'Платные услуги'!A22,"")</f>
        <v/>
      </c>
      <c r="B19" s="33">
        <f>'Платные услуги'!B22</f>
        <v>0</v>
      </c>
      <c r="C19" s="32">
        <f>'Платные услуги'!C22</f>
        <v>0</v>
      </c>
      <c r="D19" s="32">
        <f>'Платные услуги'!D22</f>
        <v>0</v>
      </c>
      <c r="E19" s="34">
        <f>'Платные услуги'!E22</f>
        <v>0</v>
      </c>
      <c r="F19" s="34">
        <f>'Платные услуги'!F22</f>
        <v>0</v>
      </c>
      <c r="G19" s="35">
        <f>'Платные услуги'!G22</f>
        <v>0</v>
      </c>
    </row>
    <row r="20" spans="1:7" x14ac:dyDescent="0.3">
      <c r="A20" s="36"/>
      <c r="B20" s="37" t="s">
        <v>16</v>
      </c>
      <c r="C20" s="38"/>
      <c r="D20" s="38"/>
      <c r="E20" s="39">
        <f>SUM(E8:E19)</f>
        <v>0</v>
      </c>
      <c r="F20" s="39">
        <f>SUM(F8:F19)</f>
        <v>0</v>
      </c>
      <c r="G20" s="39">
        <f>SUM(G8:G19)</f>
        <v>0</v>
      </c>
    </row>
    <row r="21" spans="1:7" x14ac:dyDescent="0.3">
      <c r="A21" s="61" t="s">
        <v>65</v>
      </c>
      <c r="B21" s="61"/>
      <c r="C21" s="40">
        <f>G20</f>
        <v>0</v>
      </c>
      <c r="D21" s="41"/>
      <c r="E21" s="41"/>
      <c r="F21" s="41"/>
      <c r="G21" s="41"/>
    </row>
    <row r="22" spans="1:7" x14ac:dyDescent="0.3">
      <c r="A22" s="62" t="str">
        <f>'Платные услуги'!A28</f>
        <v>Ноль рублей 00 копеек</v>
      </c>
      <c r="B22" s="62"/>
      <c r="C22" s="27"/>
      <c r="D22" s="27"/>
      <c r="E22" s="27"/>
      <c r="F22" s="27"/>
      <c r="G22" s="27"/>
    </row>
    <row r="23" spans="1:7" x14ac:dyDescent="0.3">
      <c r="A23" s="27"/>
      <c r="B23" s="27"/>
      <c r="C23" s="27"/>
      <c r="D23" s="27"/>
      <c r="E23" s="27"/>
      <c r="F23" s="27"/>
      <c r="G23" s="27"/>
    </row>
    <row r="24" spans="1:7" x14ac:dyDescent="0.3">
      <c r="A24" s="27"/>
      <c r="B24" s="27"/>
      <c r="C24" s="27"/>
      <c r="D24" s="27"/>
      <c r="E24" s="27"/>
      <c r="F24" s="27"/>
      <c r="G24" s="27"/>
    </row>
    <row r="25" spans="1:7" x14ac:dyDescent="0.3">
      <c r="A25" s="27" t="s">
        <v>66</v>
      </c>
      <c r="B25" s="27"/>
      <c r="C25" s="27" t="s">
        <v>67</v>
      </c>
      <c r="D25" s="27"/>
      <c r="E25" s="27"/>
      <c r="F25" s="27"/>
      <c r="G25" s="27"/>
    </row>
  </sheetData>
  <mergeCells count="4">
    <mergeCell ref="A3:G3"/>
    <mergeCell ref="A4:G4"/>
    <mergeCell ref="A21:B2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Платные услуги</vt:lpstr>
      <vt:lpstr>Копия договора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Загоруев</dc:creator>
  <cp:lastModifiedBy>Денис Загоруев</cp:lastModifiedBy>
  <dcterms:created xsi:type="dcterms:W3CDTF">2025-05-16T06:59:29Z</dcterms:created>
  <dcterms:modified xsi:type="dcterms:W3CDTF">2025-05-30T17:08:10Z</dcterms:modified>
</cp:coreProperties>
</file>